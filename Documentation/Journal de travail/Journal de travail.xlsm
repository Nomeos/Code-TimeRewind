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085"/>
  </bookViews>
  <sheets>
    <sheet name="Journal" sheetId="1" r:id="rId1"/>
    <sheet name="Totaux" sheetId="4" r:id="rId2"/>
    <sheet name="Paramètres" sheetId="2" r:id="rId3"/>
  </sheets>
  <definedNames>
    <definedName name="Lien">Journal!$F$28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5" i="1"/>
  <c r="B4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1" i="1"/>
  <c r="B32" i="1"/>
  <c r="B30" i="1"/>
</calcChain>
</file>

<file path=xl/sharedStrings.xml><?xml version="1.0" encoding="utf-8"?>
<sst xmlns="http://schemas.openxmlformats.org/spreadsheetml/2006/main" count="85" uniqueCount="46">
  <si>
    <t>Description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</si>
  <si>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</si>
  <si>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</si>
  <si>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</si>
  <si>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</si>
  <si>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</si>
  <si>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</si>
  <si>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</si>
  <si>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</si>
  <si>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</si>
  <si>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</si>
  <si>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</si>
  <si>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</si>
  <si>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Installation d'environnement de travail</t>
  </si>
  <si>
    <t>Acquisition de compétence en Java</t>
  </si>
  <si>
    <t>Début d'un petit projet pour apprendre plus facilement le java</t>
  </si>
  <si>
    <t>Prendre contact avec Mr.Viret pour le cahier des charges</t>
  </si>
  <si>
    <t xml:space="preserve">Apprendre a utiliser les Jframe </t>
  </si>
  <si>
    <t>Lien.</t>
  </si>
  <si>
    <t>Créer les maquettes pour les views</t>
  </si>
  <si>
    <t>Créer le MCD et MLD pour mon projet</t>
  </si>
  <si>
    <t>Commencer a gérer le GUI et les différents controller dans le projet</t>
  </si>
  <si>
    <t>Apprendre a utiliser Slick2D</t>
  </si>
  <si>
    <t>Créer les boutons "play" et "exit" dans la view et résoudre des bugs</t>
  </si>
  <si>
    <t>Créer les classes JsonManager, JsonManager test et Account pour gérer les accounts de utilisateurs .</t>
  </si>
  <si>
    <t>Lien</t>
  </si>
  <si>
    <t xml:space="preserve">Créer les view Login et Register </t>
  </si>
  <si>
    <t xml:space="preserve">Finir de setup le register et login </t>
  </si>
  <si>
    <t>Continuer la vue Character en rajoutant les stats du character actuel et sa description, création du bouton aventure et création des boutons Lobby, character et inventaire</t>
  </si>
  <si>
    <t>Création de la bar de progression dans Character</t>
  </si>
  <si>
    <t>Création de bouton pour la vue + rajout de la classe Entity qui fait hériter Character et Ennemy</t>
  </si>
  <si>
    <t>Création de bouton pour la vue + changement du code pour adapter a la classe Button + mise a jour du MLD</t>
  </si>
  <si>
    <t xml:space="preserve">Début d'ajout des levels que le joueur pourra jouer </t>
  </si>
  <si>
    <t>Mise à jour du MLD avec les levels</t>
  </si>
  <si>
    <t>Suite d'ajout des levels que le joueur pourra jouer</t>
  </si>
  <si>
    <t>Création des boutons pour les levels et les faire fonctionner</t>
  </si>
  <si>
    <t>Début d'implémentation des personnages sur l'écran des combats</t>
  </si>
  <si>
    <t>Création des barres de vies et début de création du système de combats</t>
  </si>
  <si>
    <t>Suite de création du système de combat en faisant perdre des points de vies aux ennemis et aux alliés</t>
  </si>
  <si>
    <t>Ajout des animations au combat et début d'implémentation d'animation de mort des personnages</t>
  </si>
  <si>
    <t>Début de l'affichage de fin des combats avec l'expérience gagnée</t>
  </si>
  <si>
    <t>Début de la documentation du projet (Que j'aurais du commencer dés le début du projet) avec création de l'introduction</t>
  </si>
  <si>
    <t>Suite de la création de la fin des combats</t>
  </si>
  <si>
    <t>Créer les conditions de connections et d'enregistrement</t>
  </si>
  <si>
    <t>Liens</t>
  </si>
  <si>
    <t>Suite de la documentation du projet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</si>
</sst>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theme="4" tint="0.39997558519241921"/>
      </top>
      <bottom style="thin">
        <color auto="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0" xfId="0" applyNumberFormat="1" applyAlignment="1" applyProtection="1">
      <alignment horizontal="center" vertical="center"/>
    </xf>
    <xf numFmtId="1" fontId="0" fillId="0" borderId="6" xfId="0" applyNumberFormat="1" applyFont="1" applyFill="1" applyBorder="1" applyAlignment="1">
      <alignment horizontal="center" vertical="center"/>
    </xf>
    <xf numFmtId="2" fontId="0" fillId="0" borderId="6" xfId="0" applyNumberFormat="1" applyFont="1" applyFill="1" applyBorder="1" applyAlignment="1">
      <alignment horizontal="center" vertical="center"/>
    </xf>
    <xf numFmtId="0" fontId="0" fillId="0" borderId="6" xfId="0" applyFont="1" applyFill="1" applyBorder="1" applyAlignment="1">
      <alignment horizontal="center" vertical="center"/>
    </xf>
    <xf numFmtId="0" fontId="3" fillId="0" borderId="6" xfId="1" applyFont="1" applyFill="1" applyBorder="1" applyAlignment="1">
      <alignment vertical="center" wrapText="1"/>
    </xf>
    <xf numFmtId="0" fontId="3" fillId="0" borderId="2" xfId="1" applyFont="1" applyFill="1" applyBorder="1" applyAlignment="1">
      <alignment vertical="center" wrapText="1"/>
    </xf>
    <xf numFmtId="0" fontId="3" fillId="0" borderId="6" xfId="1" applyFont="1" applyFill="1" applyBorder="1" applyAlignment="1">
      <alignment horizontal="left" vertical="center" wrapText="1"/>
    </xf>
    <xf numFmtId="0" fontId="3" fillId="0" borderId="2" xfId="1" applyFont="1" applyFill="1" applyBorder="1" applyAlignment="1">
      <alignment horizontal="left" vertical="center" wrapText="1"/>
    </xf>
    <xf numFmtId="0" fontId="6" fillId="0" borderId="7" xfId="1" applyFont="1" applyFill="1" applyBorder="1" applyAlignment="1">
      <alignment horizontal="left" vertical="center" wrapText="1"/>
    </xf>
    <xf numFmtId="0" fontId="6" fillId="0" borderId="1" xfId="1" applyFont="1" applyFill="1" applyBorder="1" applyAlignment="1">
      <alignment horizontal="left"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0" fontId="3" fillId="0" borderId="8" xfId="1" applyFont="1" applyFill="1" applyBorder="1" applyAlignment="1">
      <alignment vertical="center" wrapText="1"/>
    </xf>
    <xf numFmtId="0" fontId="3" fillId="0" borderId="8" xfId="1" applyFont="1" applyFill="1" applyBorder="1" applyAlignment="1">
      <alignment horizontal="left" vertical="center" wrapText="1"/>
    </xf>
    <xf numFmtId="16" fontId="4" fillId="0" borderId="3" xfId="0" applyNumberFormat="1" applyFont="1" applyFill="1" applyBorder="1" applyAlignment="1">
      <alignment horizontal="center" vertical="center"/>
    </xf>
    <xf numFmtId="1" fontId="4" fillId="0" borderId="3" xfId="0" applyNumberFormat="1" applyFont="1" applyFill="1" applyBorder="1" applyAlignment="1">
      <alignment horizontal="center" vertical="center"/>
    </xf>
    <xf numFmtId="2" fontId="4" fillId="0" borderId="3" xfId="0" applyNumberFormat="1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left" vertical="center" wrapText="1"/>
    </xf>
    <xf numFmtId="0" fontId="5" fillId="2" borderId="9" xfId="0" applyFont="1" applyFill="1" applyBorder="1" applyAlignment="1">
      <alignment horizontal="center" vertical="center"/>
    </xf>
    <xf numFmtId="1" fontId="5" fillId="2" borderId="10" xfId="0" applyNumberFormat="1" applyFont="1" applyFill="1" applyBorder="1" applyAlignment="1">
      <alignment horizontal="center" vertical="center"/>
    </xf>
    <xf numFmtId="2" fontId="5" fillId="2" borderId="10" xfId="0" applyNumberFormat="1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 wrapText="1"/>
    </xf>
    <xf numFmtId="16" fontId="0" fillId="0" borderId="12" xfId="0" applyNumberFormat="1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left" vertical="center" wrapText="1"/>
    </xf>
    <xf numFmtId="16" fontId="0" fillId="0" borderId="14" xfId="0" applyNumberFormat="1" applyFont="1" applyFill="1" applyBorder="1" applyAlignment="1">
      <alignment horizontal="center" vertical="center"/>
    </xf>
    <xf numFmtId="1" fontId="0" fillId="0" borderId="15" xfId="0" applyNumberFormat="1" applyFont="1" applyFill="1" applyBorder="1" applyAlignment="1">
      <alignment horizontal="center" vertical="center"/>
    </xf>
    <xf numFmtId="2" fontId="0" fillId="0" borderId="15" xfId="0" applyNumberFormat="1" applyFont="1" applyFill="1" applyBorder="1" applyAlignment="1">
      <alignment horizontal="center" vertical="center"/>
    </xf>
    <xf numFmtId="0" fontId="0" fillId="0" borderId="15" xfId="0" applyFont="1" applyFill="1" applyBorder="1" applyAlignment="1">
      <alignment horizontal="center" vertical="center"/>
    </xf>
    <xf numFmtId="0" fontId="0" fillId="0" borderId="16" xfId="0" applyFont="1" applyFill="1" applyBorder="1" applyAlignment="1">
      <alignment horizontal="left" vertical="center" wrapText="1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28575</xdr:rowOff>
        </xdr:from>
        <xdr:to>
          <xdr:col>9</xdr:col>
          <xdr:colOff>304800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32" sheet="Journal" r:id="rId2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yawintutor.com/encode-decode-using-bcryptpasswordencoder-in-spring-boot-security/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https://www.youtube.com/playlist?list=PLJOUQy9-kHFdOHHA5TlHsBSuMfPwkML1g" TargetMode="External"/><Relationship Id="rId1" Type="http://schemas.openxmlformats.org/officeDocument/2006/relationships/hyperlink" Target="https://docs.oracle.com/javase/tutorial/uiswing/components/frame.html" TargetMode="External"/><Relationship Id="rId6" Type="http://schemas.openxmlformats.org/officeDocument/2006/relationships/hyperlink" Target="https://www.youtube.com/watch?v=o4-ohj-Bm90" TargetMode="External"/><Relationship Id="rId5" Type="http://schemas.openxmlformats.org/officeDocument/2006/relationships/hyperlink" Target="https://www.jmdoudoux.fr/java/dej/chap-gson.htm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junit.org/junit5/docs/current/user-guide/" TargetMode="External"/><Relationship Id="rId9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33"/>
  <sheetViews>
    <sheetView tabSelected="1" topLeftCell="A8" workbookViewId="0">
      <selection activeCell="G19" sqref="G19"/>
    </sheetView>
  </sheetViews>
  <sheetFormatPr baseColWidth="10" defaultColWidth="9.140625" defaultRowHeight="15" x14ac:dyDescent="0.25"/>
  <cols>
    <col min="1" max="1" width="9.7109375" style="6" customWidth="1"/>
    <col min="2" max="2" width="9.28515625" style="11" bestFit="1" customWidth="1"/>
    <col min="3" max="3" width="10.5703125" style="9" bestFit="1" customWidth="1"/>
    <col min="4" max="4" width="14.7109375" style="6" bestFit="1" customWidth="1"/>
    <col min="5" max="5" width="55.28515625" style="10" customWidth="1"/>
    <col min="6" max="6" width="25.28515625" style="10" customWidth="1"/>
    <col min="7" max="7" width="15.140625" style="7" customWidth="1"/>
    <col min="8" max="8" width="16" style="7" customWidth="1"/>
    <col min="9" max="16384" width="9.140625" style="7"/>
  </cols>
  <sheetData>
    <row r="1" spans="1:9" ht="24" customHeight="1" x14ac:dyDescent="0.25">
      <c r="A1" s="30" t="s">
        <v>1</v>
      </c>
      <c r="B1" s="31" t="s">
        <v>11</v>
      </c>
      <c r="C1" s="32" t="s">
        <v>2</v>
      </c>
      <c r="D1" s="33" t="s">
        <v>3</v>
      </c>
      <c r="E1" s="34" t="s">
        <v>0</v>
      </c>
      <c r="F1" s="21" t="s">
        <v>44</v>
      </c>
      <c r="G1" s="21"/>
      <c r="H1" s="22"/>
    </row>
    <row r="2" spans="1:9" x14ac:dyDescent="0.25">
      <c r="A2" s="35">
        <v>44281</v>
      </c>
      <c r="B2" s="12">
        <f>WEEKNUM(A2)</f>
        <v>13</v>
      </c>
      <c r="C2" s="13">
        <v>3</v>
      </c>
      <c r="D2" s="14" t="s">
        <v>8</v>
      </c>
      <c r="E2" s="36" t="s">
        <v>45</v>
      </c>
      <c r="F2" s="23"/>
      <c r="G2" s="15"/>
      <c r="H2" s="16"/>
      <c r="I2" s="8"/>
    </row>
    <row r="3" spans="1:9" x14ac:dyDescent="0.25">
      <c r="A3" s="35">
        <v>44280</v>
      </c>
      <c r="B3" s="12">
        <f>WEEKNUM(A3)</f>
        <v>13</v>
      </c>
      <c r="C3" s="13">
        <v>3</v>
      </c>
      <c r="D3" s="14" t="s">
        <v>8</v>
      </c>
      <c r="E3" s="36" t="s">
        <v>45</v>
      </c>
      <c r="F3" s="23"/>
      <c r="G3" s="15"/>
      <c r="H3" s="16"/>
      <c r="I3" s="8"/>
    </row>
    <row r="4" spans="1:9" ht="45" x14ac:dyDescent="0.25">
      <c r="A4" s="35">
        <v>44278</v>
      </c>
      <c r="B4" s="12">
        <f>WEEKNUM(A4)</f>
        <v>13</v>
      </c>
      <c r="C4" s="13">
        <v>3</v>
      </c>
      <c r="D4" s="14" t="s">
        <v>8</v>
      </c>
      <c r="E4" s="36" t="s">
        <v>41</v>
      </c>
      <c r="F4" s="23"/>
      <c r="G4" s="15"/>
      <c r="H4" s="16"/>
      <c r="I4" s="8"/>
    </row>
    <row r="5" spans="1:9" x14ac:dyDescent="0.25">
      <c r="A5" s="35">
        <v>44277</v>
      </c>
      <c r="B5" s="12">
        <f>WEEKNUM(A5)</f>
        <v>13</v>
      </c>
      <c r="C5" s="13">
        <v>4</v>
      </c>
      <c r="D5" s="14" t="s">
        <v>8</v>
      </c>
      <c r="E5" s="36" t="s">
        <v>42</v>
      </c>
      <c r="F5" s="23"/>
      <c r="G5" s="15"/>
      <c r="H5" s="16"/>
      <c r="I5" s="8"/>
    </row>
    <row r="6" spans="1:9" ht="30" x14ac:dyDescent="0.25">
      <c r="A6" s="35">
        <v>44274</v>
      </c>
      <c r="B6" s="12">
        <f>WEEKNUM(A6)</f>
        <v>12</v>
      </c>
      <c r="C6" s="13">
        <v>4</v>
      </c>
      <c r="D6" s="14" t="s">
        <v>6</v>
      </c>
      <c r="E6" s="36" t="s">
        <v>40</v>
      </c>
      <c r="F6" s="23"/>
      <c r="G6" s="15"/>
      <c r="H6" s="16"/>
      <c r="I6" s="8"/>
    </row>
    <row r="7" spans="1:9" ht="30" x14ac:dyDescent="0.25">
      <c r="A7" s="35">
        <v>44273</v>
      </c>
      <c r="B7" s="12">
        <f>WEEKNUM(A7)</f>
        <v>12</v>
      </c>
      <c r="C7" s="13">
        <v>4</v>
      </c>
      <c r="D7" s="14" t="s">
        <v>6</v>
      </c>
      <c r="E7" s="36" t="s">
        <v>39</v>
      </c>
      <c r="F7" s="23"/>
      <c r="G7" s="15"/>
      <c r="H7" s="16"/>
      <c r="I7" s="8"/>
    </row>
    <row r="8" spans="1:9" ht="30" x14ac:dyDescent="0.25">
      <c r="A8" s="35">
        <v>44271</v>
      </c>
      <c r="B8" s="12">
        <f>WEEKNUM(A8)</f>
        <v>12</v>
      </c>
      <c r="C8" s="13">
        <v>4</v>
      </c>
      <c r="D8" s="14" t="s">
        <v>6</v>
      </c>
      <c r="E8" s="36" t="s">
        <v>38</v>
      </c>
      <c r="F8" s="23"/>
      <c r="G8" s="15"/>
      <c r="H8" s="16"/>
      <c r="I8" s="8"/>
    </row>
    <row r="9" spans="1:9" ht="30" x14ac:dyDescent="0.25">
      <c r="A9" s="35">
        <v>44270</v>
      </c>
      <c r="B9" s="12">
        <f>WEEKNUM(A9)</f>
        <v>12</v>
      </c>
      <c r="C9" s="13">
        <v>3</v>
      </c>
      <c r="D9" s="14" t="s">
        <v>6</v>
      </c>
      <c r="E9" s="36" t="s">
        <v>37</v>
      </c>
      <c r="F9" s="23"/>
      <c r="G9" s="15"/>
      <c r="H9" s="16"/>
      <c r="I9" s="8"/>
    </row>
    <row r="10" spans="1:9" ht="30" x14ac:dyDescent="0.25">
      <c r="A10" s="35">
        <v>44267</v>
      </c>
      <c r="B10" s="12">
        <f>WEEKNUM(A10)</f>
        <v>11</v>
      </c>
      <c r="C10" s="13">
        <v>4</v>
      </c>
      <c r="D10" s="14" t="s">
        <v>6</v>
      </c>
      <c r="E10" s="36" t="s">
        <v>36</v>
      </c>
      <c r="F10" s="23"/>
      <c r="G10" s="15"/>
      <c r="H10" s="16"/>
      <c r="I10" s="8"/>
    </row>
    <row r="11" spans="1:9" x14ac:dyDescent="0.25">
      <c r="A11" s="35">
        <v>44266</v>
      </c>
      <c r="B11" s="12">
        <f>WEEKNUM(A11)</f>
        <v>11</v>
      </c>
      <c r="C11" s="13">
        <v>4</v>
      </c>
      <c r="D11" s="14" t="s">
        <v>6</v>
      </c>
      <c r="E11" s="36" t="s">
        <v>35</v>
      </c>
      <c r="F11" s="23"/>
      <c r="G11" s="15"/>
      <c r="H11" s="16"/>
      <c r="I11" s="8"/>
    </row>
    <row r="12" spans="1:9" x14ac:dyDescent="0.25">
      <c r="A12" s="35">
        <v>44264</v>
      </c>
      <c r="B12" s="12">
        <f>WEEKNUM(A12)</f>
        <v>11</v>
      </c>
      <c r="C12" s="13">
        <v>3</v>
      </c>
      <c r="D12" s="14" t="s">
        <v>6</v>
      </c>
      <c r="E12" s="36" t="s">
        <v>34</v>
      </c>
      <c r="F12" s="23"/>
      <c r="G12" s="15"/>
      <c r="H12" s="16"/>
      <c r="I12" s="8"/>
    </row>
    <row r="13" spans="1:9" x14ac:dyDescent="0.25">
      <c r="A13" s="35">
        <v>44263</v>
      </c>
      <c r="B13" s="12">
        <f>WEEKNUM(A13)</f>
        <v>11</v>
      </c>
      <c r="C13" s="13">
        <v>4</v>
      </c>
      <c r="D13" s="14" t="s">
        <v>6</v>
      </c>
      <c r="E13" s="36" t="s">
        <v>33</v>
      </c>
      <c r="F13" s="23"/>
      <c r="G13" s="15"/>
      <c r="H13" s="16"/>
      <c r="I13" s="8"/>
    </row>
    <row r="14" spans="1:9" x14ac:dyDescent="0.25">
      <c r="A14" s="35">
        <v>44263</v>
      </c>
      <c r="B14" s="12">
        <f>WEEKNUM(A14)</f>
        <v>11</v>
      </c>
      <c r="C14" s="13">
        <v>4</v>
      </c>
      <c r="D14" s="14" t="s">
        <v>6</v>
      </c>
      <c r="E14" s="36" t="s">
        <v>32</v>
      </c>
      <c r="F14" s="23"/>
      <c r="G14" s="15"/>
      <c r="H14" s="16"/>
      <c r="I14" s="8"/>
    </row>
    <row r="15" spans="1:9" ht="30" x14ac:dyDescent="0.25">
      <c r="A15" s="35">
        <v>44260</v>
      </c>
      <c r="B15" s="12">
        <f>WEEKNUM(A15)</f>
        <v>10</v>
      </c>
      <c r="C15" s="13">
        <v>3</v>
      </c>
      <c r="D15" s="14" t="s">
        <v>6</v>
      </c>
      <c r="E15" s="36" t="s">
        <v>31</v>
      </c>
      <c r="F15" s="23"/>
      <c r="G15" s="15"/>
      <c r="H15" s="16"/>
      <c r="I15" s="8"/>
    </row>
    <row r="16" spans="1:9" ht="30" x14ac:dyDescent="0.25">
      <c r="A16" s="35">
        <v>44259</v>
      </c>
      <c r="B16" s="12">
        <f>WEEKNUM(A16)</f>
        <v>10</v>
      </c>
      <c r="C16" s="13">
        <v>4</v>
      </c>
      <c r="D16" s="14" t="s">
        <v>6</v>
      </c>
      <c r="E16" s="36" t="s">
        <v>30</v>
      </c>
      <c r="F16" s="23"/>
      <c r="G16" s="15"/>
      <c r="H16" s="16"/>
      <c r="I16" s="8"/>
    </row>
    <row r="17" spans="1:9" x14ac:dyDescent="0.25">
      <c r="A17" s="35">
        <v>44257</v>
      </c>
      <c r="B17" s="12">
        <f>WEEKNUM(A17)</f>
        <v>10</v>
      </c>
      <c r="C17" s="13">
        <v>4</v>
      </c>
      <c r="D17" s="14" t="s">
        <v>6</v>
      </c>
      <c r="E17" s="36" t="s">
        <v>29</v>
      </c>
      <c r="F17" s="23"/>
      <c r="G17" s="15"/>
      <c r="H17" s="16"/>
      <c r="I17" s="8"/>
    </row>
    <row r="18" spans="1:9" ht="60" x14ac:dyDescent="0.25">
      <c r="A18" s="35">
        <v>44256</v>
      </c>
      <c r="B18" s="12">
        <f>WEEKNUM(A18)</f>
        <v>10</v>
      </c>
      <c r="C18" s="13">
        <v>4</v>
      </c>
      <c r="D18" s="14" t="s">
        <v>6</v>
      </c>
      <c r="E18" s="36" t="s">
        <v>28</v>
      </c>
      <c r="F18" s="23"/>
      <c r="G18" s="15"/>
      <c r="H18" s="16"/>
      <c r="I18" s="8"/>
    </row>
    <row r="19" spans="1:9" x14ac:dyDescent="0.25">
      <c r="A19" s="35">
        <v>44245</v>
      </c>
      <c r="B19" s="12">
        <f>WEEKNUM(A19)</f>
        <v>8</v>
      </c>
      <c r="C19" s="13">
        <v>3</v>
      </c>
      <c r="D19" s="14" t="s">
        <v>6</v>
      </c>
      <c r="E19" s="36" t="s">
        <v>27</v>
      </c>
      <c r="F19" s="23"/>
      <c r="G19" s="15"/>
      <c r="H19" s="16"/>
      <c r="I19" s="8"/>
    </row>
    <row r="20" spans="1:9" x14ac:dyDescent="0.25">
      <c r="A20" s="35">
        <v>44243</v>
      </c>
      <c r="B20" s="12">
        <f>WEEKNUM(A20)</f>
        <v>8</v>
      </c>
      <c r="C20" s="13">
        <v>4</v>
      </c>
      <c r="D20" s="14" t="s">
        <v>6</v>
      </c>
      <c r="E20" s="36" t="s">
        <v>43</v>
      </c>
      <c r="F20" s="23"/>
      <c r="G20" s="15"/>
      <c r="H20" s="16"/>
      <c r="I20" s="8"/>
    </row>
    <row r="21" spans="1:9" x14ac:dyDescent="0.25">
      <c r="A21" s="35">
        <v>44242</v>
      </c>
      <c r="B21" s="12">
        <f>WEEKNUM(A21)</f>
        <v>8</v>
      </c>
      <c r="C21" s="13">
        <v>4</v>
      </c>
      <c r="D21" s="14" t="s">
        <v>6</v>
      </c>
      <c r="E21" s="36" t="s">
        <v>26</v>
      </c>
      <c r="F21" s="23" t="s">
        <v>18</v>
      </c>
      <c r="G21" s="15"/>
      <c r="H21" s="16"/>
      <c r="I21" s="8"/>
    </row>
    <row r="22" spans="1:9" ht="30" x14ac:dyDescent="0.25">
      <c r="A22" s="35">
        <v>44239</v>
      </c>
      <c r="B22" s="12">
        <f>WEEKNUM(A22)</f>
        <v>7</v>
      </c>
      <c r="C22" s="13">
        <v>4</v>
      </c>
      <c r="D22" s="14" t="s">
        <v>6</v>
      </c>
      <c r="E22" s="36" t="s">
        <v>24</v>
      </c>
      <c r="F22" s="23" t="s">
        <v>18</v>
      </c>
      <c r="G22" s="15" t="s">
        <v>25</v>
      </c>
      <c r="H22" s="16" t="s">
        <v>25</v>
      </c>
      <c r="I22" s="8"/>
    </row>
    <row r="23" spans="1:9" ht="30" x14ac:dyDescent="0.25">
      <c r="A23" s="35">
        <v>44238</v>
      </c>
      <c r="B23" s="12">
        <f>WEEKNUM(A23)</f>
        <v>7</v>
      </c>
      <c r="C23" s="13">
        <v>4</v>
      </c>
      <c r="D23" s="14" t="s">
        <v>6</v>
      </c>
      <c r="E23" s="36" t="s">
        <v>23</v>
      </c>
      <c r="F23" s="24"/>
      <c r="G23" s="17"/>
      <c r="H23" s="18"/>
      <c r="I23" s="8"/>
    </row>
    <row r="24" spans="1:9" x14ac:dyDescent="0.25">
      <c r="A24" s="35">
        <v>44236</v>
      </c>
      <c r="B24" s="12">
        <f>WEEKNUM(A24)</f>
        <v>7</v>
      </c>
      <c r="C24" s="13">
        <v>2</v>
      </c>
      <c r="D24" s="14" t="s">
        <v>8</v>
      </c>
      <c r="E24" s="36" t="s">
        <v>22</v>
      </c>
      <c r="F24" s="24" t="s">
        <v>18</v>
      </c>
      <c r="G24" s="17"/>
      <c r="H24" s="18"/>
      <c r="I24" s="8"/>
    </row>
    <row r="25" spans="1:9" ht="30" x14ac:dyDescent="0.25">
      <c r="A25" s="35">
        <v>44236</v>
      </c>
      <c r="B25" s="12">
        <f>WEEKNUM(A25)</f>
        <v>7</v>
      </c>
      <c r="C25" s="13">
        <v>2</v>
      </c>
      <c r="D25" s="14" t="s">
        <v>8</v>
      </c>
      <c r="E25" s="36" t="s">
        <v>21</v>
      </c>
      <c r="F25" s="24" t="s">
        <v>18</v>
      </c>
      <c r="G25" s="17"/>
      <c r="H25" s="18"/>
      <c r="I25" s="8"/>
    </row>
    <row r="26" spans="1:9" x14ac:dyDescent="0.25">
      <c r="A26" s="35">
        <v>44235</v>
      </c>
      <c r="B26" s="12">
        <f>WEEKNUM(A26)</f>
        <v>7</v>
      </c>
      <c r="C26" s="13">
        <v>4</v>
      </c>
      <c r="D26" s="14" t="s">
        <v>8</v>
      </c>
      <c r="E26" s="36" t="s">
        <v>20</v>
      </c>
      <c r="F26" s="24"/>
      <c r="G26" s="17"/>
      <c r="H26" s="18"/>
      <c r="I26" s="8"/>
    </row>
    <row r="27" spans="1:9" x14ac:dyDescent="0.25">
      <c r="A27" s="35">
        <v>44232</v>
      </c>
      <c r="B27" s="12">
        <f>WEEKNUM(A27)</f>
        <v>6</v>
      </c>
      <c r="C27" s="13">
        <v>4</v>
      </c>
      <c r="D27" s="14" t="s">
        <v>8</v>
      </c>
      <c r="E27" s="36" t="s">
        <v>19</v>
      </c>
      <c r="F27" s="24"/>
      <c r="G27" s="17"/>
      <c r="H27" s="18"/>
      <c r="I27" s="8"/>
    </row>
    <row r="28" spans="1:9" x14ac:dyDescent="0.25">
      <c r="A28" s="35">
        <v>44231</v>
      </c>
      <c r="B28" s="12">
        <f>WEEKNUM(A28)</f>
        <v>6</v>
      </c>
      <c r="C28" s="13">
        <v>1</v>
      </c>
      <c r="D28" s="14" t="s">
        <v>5</v>
      </c>
      <c r="E28" s="36" t="s">
        <v>17</v>
      </c>
      <c r="F28" s="24" t="s">
        <v>18</v>
      </c>
      <c r="G28" s="17"/>
      <c r="H28" s="18"/>
      <c r="I28" s="8"/>
    </row>
    <row r="29" spans="1:9" x14ac:dyDescent="0.25">
      <c r="A29" s="35">
        <v>44231</v>
      </c>
      <c r="B29" s="12">
        <f>WEEKNUM(A29)</f>
        <v>6</v>
      </c>
      <c r="C29" s="13">
        <v>3</v>
      </c>
      <c r="D29" s="14" t="s">
        <v>8</v>
      </c>
      <c r="E29" s="36" t="s">
        <v>16</v>
      </c>
      <c r="F29" s="24"/>
      <c r="G29" s="17"/>
      <c r="H29" s="18"/>
      <c r="I29" s="8"/>
    </row>
    <row r="30" spans="1:9" ht="30" x14ac:dyDescent="0.25">
      <c r="A30" s="35">
        <v>44229</v>
      </c>
      <c r="B30" s="12">
        <f>WEEKNUM(A30)</f>
        <v>6</v>
      </c>
      <c r="C30" s="13">
        <v>4</v>
      </c>
      <c r="D30" s="14" t="s">
        <v>5</v>
      </c>
      <c r="E30" s="36" t="s">
        <v>15</v>
      </c>
      <c r="F30" s="24"/>
      <c r="G30" s="17"/>
      <c r="H30" s="18"/>
      <c r="I30" s="8"/>
    </row>
    <row r="31" spans="1:9" x14ac:dyDescent="0.25">
      <c r="A31" s="35">
        <v>44228</v>
      </c>
      <c r="B31" s="12">
        <f>WEEKNUM(A31)</f>
        <v>6</v>
      </c>
      <c r="C31" s="13">
        <v>3</v>
      </c>
      <c r="D31" s="14" t="s">
        <v>8</v>
      </c>
      <c r="E31" s="36" t="s">
        <v>13</v>
      </c>
      <c r="F31" s="24"/>
      <c r="G31" s="17"/>
      <c r="H31" s="18"/>
      <c r="I31" s="8"/>
    </row>
    <row r="32" spans="1:9" ht="15.75" thickBot="1" x14ac:dyDescent="0.3">
      <c r="A32" s="37">
        <v>44228</v>
      </c>
      <c r="B32" s="38">
        <f>WEEKNUM(A32)</f>
        <v>6</v>
      </c>
      <c r="C32" s="39">
        <v>1</v>
      </c>
      <c r="D32" s="40" t="s">
        <v>5</v>
      </c>
      <c r="E32" s="41" t="s">
        <v>14</v>
      </c>
      <c r="F32" s="24"/>
      <c r="G32" s="17"/>
      <c r="H32" s="18"/>
      <c r="I32" s="8"/>
    </row>
    <row r="33" spans="1:8" x14ac:dyDescent="0.25">
      <c r="A33" s="25"/>
      <c r="B33" s="26"/>
      <c r="C33" s="27"/>
      <c r="D33" s="28"/>
      <c r="E33" s="29"/>
      <c r="F33" s="19"/>
      <c r="G33" s="19"/>
      <c r="H33" s="20"/>
    </row>
  </sheetData>
  <sheetProtection selectLockedCells="1"/>
  <mergeCells count="1">
    <mergeCell ref="F1:H1"/>
  </mergeCells>
  <hyperlinks>
    <hyperlink ref="F28" r:id="rId1"/>
    <hyperlink ref="F24" r:id="rId2"/>
    <hyperlink ref="F22" r:id="rId3"/>
    <hyperlink ref="G22" r:id="rId4" location="overview"/>
    <hyperlink ref="H22" r:id="rId5" location="gson-1"/>
    <hyperlink ref="F21" r:id="rId6"/>
  </hyperlinks>
  <pageMargins left="0.7" right="0.7" top="0.75" bottom="0.75" header="0.3" footer="0.3"/>
  <pageSetup paperSize="152" orientation="portrait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10" name="Button 2">
              <controlPr defaultSize="0" autoFill="0" autoPict="0" macro="[0]!_xludf.Duplicate">
                <anchor moveWithCells="1" sizeWithCells="1">
                  <from>
                    <xdr:col>9</xdr:col>
                    <xdr:colOff>19050</xdr:colOff>
                    <xdr:row>0</xdr:row>
                    <xdr:rowOff>28575</xdr:rowOff>
                  </from>
                  <to>
                    <xdr:col>9</xdr:col>
                    <xdr:colOff>304800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5</v>
      </c>
      <c r="C4" t="s">
        <v>10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10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AEC19B2-34DC-4FAF-A352-0F4E3D3AB3E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919FEB6-A0D6-4A2B-9314-C14F905EF45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AD7F6C9-A156-4584-B41B-6E5B75CD6A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Lien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2021-03-25T09:54:05Z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